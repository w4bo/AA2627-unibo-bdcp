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repos\teaching\AA2627-unibo-bdcp\"/>
    </mc:Choice>
  </mc:AlternateContent>
  <xr:revisionPtr revIDLastSave="0" documentId="13_ncr:1_{F7709AE0-6CA6-4954-99EE-4508CA0155A4}" xr6:coauthVersionLast="47" xr6:coauthVersionMax="47" xr10:uidLastSave="{00000000-0000-0000-0000-000000000000}"/>
  <bookViews>
    <workbookView xWindow="-108" yWindow="-108" windowWidth="46296" windowHeight="25416" xr2:uid="{00000000-000D-0000-FFFF-FFFF00000000}"/>
  </bookViews>
  <sheets>
    <sheet name="AA2627" sheetId="4" r:id="rId1"/>
    <sheet name="AA2526" sheetId="3" r:id="rId2"/>
    <sheet name="AA2425" sheetId="2" r:id="rId3"/>
    <sheet name="AA2223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4" l="1"/>
  <c r="A20" i="4"/>
  <c r="A19" i="4"/>
  <c r="A18" i="4"/>
  <c r="G20" i="4"/>
  <c r="G21" i="4"/>
  <c r="A7" i="4"/>
  <c r="A9" i="4"/>
  <c r="A11" i="4" s="1"/>
  <c r="A13" i="4" s="1"/>
  <c r="A15" i="4" s="1"/>
  <c r="A17" i="4" s="1"/>
  <c r="A5" i="4"/>
  <c r="A4" i="4"/>
  <c r="A6" i="4" s="1"/>
  <c r="A8" i="4" s="1"/>
  <c r="A10" i="4" s="1"/>
  <c r="A12" i="4" s="1"/>
  <c r="A14" i="4" s="1"/>
  <c r="A16" i="4" s="1"/>
  <c r="E22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B2" i="4"/>
  <c r="G17" i="3"/>
  <c r="G18" i="3"/>
  <c r="G19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E22" i="3"/>
  <c r="A3" i="3"/>
  <c r="G2" i="3"/>
  <c r="B2" i="3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2" i="2"/>
  <c r="A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" i="2"/>
  <c r="E22" i="2"/>
  <c r="A3" i="2"/>
  <c r="G12" i="1"/>
  <c r="G16" i="1"/>
  <c r="B16" i="1"/>
  <c r="B10" i="1"/>
  <c r="B11" i="1"/>
  <c r="B3" i="1"/>
  <c r="B4" i="1"/>
  <c r="B5" i="1"/>
  <c r="B6" i="1"/>
  <c r="B7" i="1"/>
  <c r="B8" i="1"/>
  <c r="B9" i="1"/>
  <c r="B12" i="1"/>
  <c r="B13" i="1"/>
  <c r="B14" i="1"/>
  <c r="B15" i="1"/>
  <c r="B17" i="1"/>
  <c r="B2" i="1"/>
  <c r="E18" i="1"/>
  <c r="G3" i="1" s="1"/>
  <c r="B4" i="4" l="1"/>
  <c r="B3" i="4"/>
  <c r="B3" i="3"/>
  <c r="A4" i="3"/>
  <c r="A4" i="2"/>
  <c r="G9" i="1"/>
  <c r="G8" i="1"/>
  <c r="G2" i="1"/>
  <c r="G7" i="1"/>
  <c r="G17" i="1"/>
  <c r="G6" i="1"/>
  <c r="G15" i="1"/>
  <c r="G5" i="1"/>
  <c r="G4" i="1"/>
  <c r="B5" i="4" l="1"/>
  <c r="B4" i="3"/>
  <c r="A5" i="3"/>
  <c r="A7" i="2"/>
  <c r="B6" i="4" l="1"/>
  <c r="A6" i="3"/>
  <c r="B5" i="3"/>
  <c r="A8" i="2"/>
  <c r="B7" i="4" l="1"/>
  <c r="B6" i="3"/>
  <c r="A7" i="3"/>
  <c r="A9" i="2"/>
  <c r="B8" i="4" l="1"/>
  <c r="B7" i="3"/>
  <c r="A8" i="3"/>
  <c r="A10" i="2"/>
  <c r="B9" i="4" l="1"/>
  <c r="A9" i="3"/>
  <c r="B8" i="3"/>
  <c r="A11" i="2"/>
  <c r="B10" i="4" l="1"/>
  <c r="B9" i="3"/>
  <c r="A10" i="3"/>
  <c r="A12" i="2"/>
  <c r="B11" i="4" l="1"/>
  <c r="B10" i="3"/>
  <c r="A11" i="3"/>
  <c r="A13" i="2"/>
  <c r="B12" i="4" l="1"/>
  <c r="B11" i="3"/>
  <c r="A12" i="3"/>
  <c r="A14" i="2"/>
  <c r="B13" i="4" l="1"/>
  <c r="A13" i="3"/>
  <c r="B12" i="3"/>
  <c r="A15" i="2"/>
  <c r="B14" i="4" l="1"/>
  <c r="B13" i="3"/>
  <c r="A14" i="3"/>
  <c r="A16" i="2"/>
  <c r="B15" i="4" l="1"/>
  <c r="A15" i="3"/>
  <c r="B14" i="3"/>
  <c r="A17" i="2"/>
  <c r="B16" i="4" l="1"/>
  <c r="A16" i="3"/>
  <c r="B15" i="3"/>
  <c r="A18" i="2"/>
  <c r="B17" i="4" l="1"/>
  <c r="A17" i="3"/>
  <c r="B16" i="3"/>
  <c r="A19" i="2"/>
  <c r="B19" i="2" s="1"/>
  <c r="B18" i="4" l="1"/>
  <c r="B17" i="3"/>
  <c r="A18" i="3"/>
  <c r="A20" i="2"/>
  <c r="B20" i="2" s="1"/>
  <c r="B19" i="4" l="1"/>
  <c r="A19" i="3"/>
  <c r="B18" i="3"/>
  <c r="A21" i="2"/>
  <c r="B21" i="2" s="1"/>
  <c r="B21" i="4" l="1"/>
  <c r="B20" i="4"/>
  <c r="A20" i="3"/>
  <c r="B19" i="3"/>
  <c r="A21" i="3" l="1"/>
  <c r="B21" i="3" s="1"/>
  <c r="B20" i="3"/>
</calcChain>
</file>

<file path=xl/sharedStrings.xml><?xml version="1.0" encoding="utf-8"?>
<sst xmlns="http://schemas.openxmlformats.org/spreadsheetml/2006/main" count="283" uniqueCount="82">
  <si>
    <t>When</t>
  </si>
  <si>
    <t>Day</t>
  </si>
  <si>
    <t>Room</t>
  </si>
  <si>
    <t>What</t>
  </si>
  <si>
    <t>Duration</t>
  </si>
  <si>
    <t>Topics</t>
  </si>
  <si>
    <t>Adv</t>
  </si>
  <si>
    <t>Notes</t>
  </si>
  <si>
    <t>AULA 2.4, 2h (9-11)</t>
  </si>
  <si>
    <t>Theory</t>
  </si>
  <si>
    <t>Introduction, Towards data platforms</t>
  </si>
  <si>
    <t>LAB. 3.3, 2h (11-13)</t>
  </si>
  <si>
    <t>Towards data platforms (until lakehouse?)</t>
  </si>
  <si>
    <t>Towards data platforms (until case study on data profiling)</t>
  </si>
  <si>
    <t>Lab</t>
  </si>
  <si>
    <t>Towards data platforms (until hera seminar)</t>
  </si>
  <si>
    <t>Towards data platforms, NoSQL</t>
  </si>
  <si>
    <t>NoSQL (until CAP)</t>
  </si>
  <si>
    <t>NoSQL, Cloud Computing (until why moving to the cloud?)</t>
  </si>
  <si>
    <t>Integrated Lab (DL2DWH)</t>
  </si>
  <si>
    <t>Cloud Computing, Cloud (Storage) until DL areas</t>
  </si>
  <si>
    <t>Cloud (Computing)</t>
  </si>
  <si>
    <t>Sem</t>
  </si>
  <si>
    <t>Seminar: Technogym</t>
  </si>
  <si>
    <t>AULA 2.4, 2h (11-13)</t>
  </si>
  <si>
    <t>Seminar: UniBO (Manuele Pasini); Cloud (Migration)</t>
  </si>
  <si>
    <t>Tot</t>
  </si>
  <si>
    <t>Max</t>
  </si>
  <si>
    <t>Duration (old)</t>
  </si>
  <si>
    <t>Topics (old)</t>
  </si>
  <si>
    <t>Introduction, towards data platforms</t>
  </si>
  <si>
    <t>Towards data platforms</t>
  </si>
  <si>
    <t>Introduction, towards data platforms + NoSQL (30 min)</t>
  </si>
  <si>
    <t>Could add something about managing privacy through metadata (see Salesforce). Introduce the case studies earlier as examples of DTM</t>
  </si>
  <si>
    <t>Lab: from raw data to ML, data profiling and data provenance</t>
  </si>
  <si>
    <t>https://architect.salesforce.com/fundamentals/platform-multitenant-architecture</t>
  </si>
  <si>
    <t>LAB. 4.2, 3h (9-12)</t>
  </si>
  <si>
    <t>Lab: from raw data to ML, data profiling and data provenance, Cloud and XaaS</t>
  </si>
  <si>
    <t>NoSQL database</t>
  </si>
  <si>
    <t>Shorten the NoSQL details and add some discussion on Fiware data models</t>
  </si>
  <si>
    <t>Cloud and XaaS</t>
  </si>
  <si>
    <t>Show the AWS console</t>
  </si>
  <si>
    <t>Lab: DL, DWH pt.1</t>
  </si>
  <si>
    <t>Data pipelines on cloud (Storage)</t>
  </si>
  <si>
    <t>Lab: DL, DWH pt.2</t>
  </si>
  <si>
    <t>Data pipelines on cloud (Computing) + Migration</t>
  </si>
  <si>
    <t>Update migration with notes from Fabio</t>
  </si>
  <si>
    <t>Data pipelines on cloud (Storage) + Data pipelines on cloud (Computing)</t>
  </si>
  <si>
    <t>Problem with power bi</t>
  </si>
  <si>
    <t>Seminar: Data Reply</t>
  </si>
  <si>
    <t>Seminar: LAIF (Briding AI and Cloud Platforms)</t>
  </si>
  <si>
    <t>Data pipelines on cloud (Streaming) + Streaming Migration</t>
  </si>
  <si>
    <t>Summing up</t>
  </si>
  <si>
    <t>Seminar: IConsulting (Engineering Cloud Platforms with Lakehouse)</t>
  </si>
  <si>
    <t>Seminar: Hera (big data)</t>
  </si>
  <si>
    <t>New lab on building data products?</t>
  </si>
  <si>
    <t>-</t>
  </si>
  <si>
    <t>Check the data management and data mesh books</t>
  </si>
  <si>
    <t>Slides</t>
  </si>
  <si>
    <t>Lab 4.2, 2h (9-11)</t>
  </si>
  <si>
    <t>13 + 52</t>
  </si>
  <si>
    <t>Aula 2.4, 2h (11-13)</t>
  </si>
  <si>
    <t>Lab: DL, DWH</t>
  </si>
  <si>
    <t>23 + 27</t>
  </si>
  <si>
    <t>Lab 3.3, 4 (9-13)</t>
  </si>
  <si>
    <t>Hands on!</t>
  </si>
  <si>
    <t>Aula 2.12, 4 (9-13)</t>
  </si>
  <si>
    <t>Seminar Technogym</t>
  </si>
  <si>
    <t>Data pipelines on cloud (Streaming) + Summing up</t>
  </si>
  <si>
    <t>Seminar Bitbang</t>
  </si>
  <si>
    <t>TOT</t>
  </si>
  <si>
    <t>AULA 2.7, 2h (13-15)</t>
  </si>
  <si>
    <t>Introduction, (Towards) Data Platforms (until DWH)</t>
  </si>
  <si>
    <t>Seminar: Technogym?</t>
  </si>
  <si>
    <t>Seminar: Lisa Mazzini?</t>
  </si>
  <si>
    <t>Data Platforms, Data Governance (beginning of exercise on schema ext)</t>
  </si>
  <si>
    <t>Data Governance (until case study on ML + metadata)</t>
  </si>
  <si>
    <t>Holiday</t>
  </si>
  <si>
    <t>Data Governance (demo LLM wiki?)</t>
  </si>
  <si>
    <t>Cloud Computing (until why moving to the cloud?)</t>
  </si>
  <si>
    <t>Cloud (Migration)</t>
  </si>
  <si>
    <t>Data Governance (until hera seminar?)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</si>
</sst>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3" tint="0.7999816888943144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9" fontId="1" fillId="0" borderId="0" xfId="0" applyNumberFormat="1" applyFont="1" applyAlignment="1">
      <alignment horizontal="center"/>
    </xf>
    <xf numFmtId="9" fontId="0" fillId="0" borderId="0" xfId="0" applyNumberFormat="1" applyAlignment="1">
      <alignment horizontal="center"/>
    </xf>
    <xf numFmtId="9" fontId="0" fillId="3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2" fillId="4" borderId="0" xfId="0" applyFont="1" applyFill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0" xfId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1" fillId="0" borderId="0" xfId="0" applyFont="1"/>
    <xf numFmtId="0" fontId="0" fillId="5" borderId="0" xfId="0" applyFill="1" applyAlignment="1">
      <alignment horizontal="center"/>
    </xf>
    <xf numFmtId="1" fontId="2" fillId="0" borderId="0" xfId="0" applyNumberFormat="1" applyFont="1" applyAlignment="1">
      <alignment horizontal="center"/>
    </xf>
    <xf numFmtId="0" fontId="0" fillId="6" borderId="0" xfId="0" applyFill="1" applyAlignment="1">
      <alignment horizontal="center"/>
    </xf>
    <xf numFmtId="0" fontId="8" fillId="0" borderId="0" xfId="0" applyFont="1" applyAlignment="1">
      <alignment horizontal="left"/>
    </xf>
    <xf numFmtId="0" fontId="0" fillId="6" borderId="0" xfId="0" applyFill="1" applyAlignment="1">
      <alignment vertical="center"/>
    </xf>
    <xf numFmtId="0" fontId="0" fillId="7" borderId="0" xfId="0" applyFill="1" applyAlignment="1">
      <alignment horizontal="left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left"/>
    </xf>
  </cellXfs>
  <cellStyles count="2">
    <cellStyle name="Collegamento ipertestuale" xfId="1" builtinId="8"/>
    <cellStyle name="Normale" xfId="0" builtinId="0"/>
  </cellStyles>
  <dxfs count="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architect.salesforce.com/fundamentals/platform-multitenant-architectur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FCF00-0ED4-4EAC-A0A8-DD346D8625F0}">
  <dimension ref="A1:H23"/>
  <sheetViews>
    <sheetView tabSelected="1" zoomScale="190" zoomScaleNormal="190" workbookViewId="0">
      <selection activeCell="F7" sqref="F7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hidden="1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hidden="1" x14ac:dyDescent="0.3">
      <c r="A2" s="4">
        <v>45942</v>
      </c>
      <c r="B2" s="23">
        <f>WEEKDAY(A2)-1</f>
        <v>0</v>
      </c>
      <c r="C2" s="7" t="s">
        <v>71</v>
      </c>
      <c r="D2" s="4" t="s">
        <v>9</v>
      </c>
      <c r="E2" s="22">
        <v>2</v>
      </c>
      <c r="G2" s="22">
        <f>SUM($E$2:E2)/$E$23</f>
        <v>6.6666666666666666E-2</v>
      </c>
    </row>
    <row r="3" spans="1:8" x14ac:dyDescent="0.3">
      <c r="A3" s="4">
        <v>45943</v>
      </c>
      <c r="B3" s="23">
        <f t="shared" ref="B3:B21" si="0">WEEKDAY(A3)-1</f>
        <v>1</v>
      </c>
      <c r="C3" s="7" t="s">
        <v>11</v>
      </c>
      <c r="D3" s="4" t="s">
        <v>14</v>
      </c>
      <c r="E3" s="1">
        <v>2</v>
      </c>
      <c r="F3" s="27" t="s">
        <v>72</v>
      </c>
      <c r="G3" s="1">
        <f>SUM($E$2:E3)/$E$23</f>
        <v>0.13333333333333333</v>
      </c>
    </row>
    <row r="4" spans="1:8" x14ac:dyDescent="0.3">
      <c r="A4" s="4">
        <f>A2+7</f>
        <v>45949</v>
      </c>
      <c r="B4" s="23">
        <f t="shared" si="0"/>
        <v>0</v>
      </c>
      <c r="C4" s="7" t="s">
        <v>71</v>
      </c>
      <c r="D4" s="3" t="s">
        <v>9</v>
      </c>
      <c r="E4" s="1">
        <v>2</v>
      </c>
      <c r="F4" s="27" t="s">
        <v>75</v>
      </c>
      <c r="G4" s="1">
        <f>SUM($E$2:E4)/$E$23</f>
        <v>0.2</v>
      </c>
      <c r="H4" s="18"/>
    </row>
    <row r="5" spans="1:8" x14ac:dyDescent="0.3">
      <c r="A5" s="4">
        <f>A3+7</f>
        <v>45950</v>
      </c>
      <c r="B5" s="23">
        <f t="shared" si="0"/>
        <v>1</v>
      </c>
      <c r="C5" s="7" t="s">
        <v>11</v>
      </c>
      <c r="D5" s="4" t="s">
        <v>14</v>
      </c>
      <c r="E5" s="1">
        <v>2</v>
      </c>
      <c r="F5" s="27" t="s">
        <v>76</v>
      </c>
      <c r="G5" s="1">
        <f>SUM($E$2:E5)/$E$23</f>
        <v>0.26666666666666666</v>
      </c>
    </row>
    <row r="6" spans="1:8" x14ac:dyDescent="0.3">
      <c r="A6" s="4">
        <f t="shared" ref="A6:A21" si="1">A4+7</f>
        <v>45956</v>
      </c>
      <c r="B6" s="23">
        <f t="shared" si="0"/>
        <v>0</v>
      </c>
      <c r="C6" s="7" t="s">
        <v>71</v>
      </c>
      <c r="D6" s="4" t="s">
        <v>9</v>
      </c>
      <c r="E6" s="1">
        <v>2</v>
      </c>
      <c r="F6" s="32" t="s">
        <v>81</v>
      </c>
      <c r="G6" s="1">
        <f>SUM($E$2:E6)/$E$23</f>
        <v>0.33333333333333331</v>
      </c>
    </row>
    <row r="7" spans="1:8" x14ac:dyDescent="0.3">
      <c r="A7" s="4">
        <f t="shared" si="1"/>
        <v>45957</v>
      </c>
      <c r="B7" s="23">
        <f t="shared" si="0"/>
        <v>1</v>
      </c>
      <c r="C7" s="7" t="s">
        <v>11</v>
      </c>
      <c r="D7" s="3" t="s">
        <v>14</v>
      </c>
      <c r="E7" s="1">
        <v>2</v>
      </c>
      <c r="F7" s="25" t="s">
        <v>78</v>
      </c>
      <c r="G7" s="1">
        <f>SUM($E$2:E7)/$E$23</f>
        <v>0.4</v>
      </c>
    </row>
    <row r="8" spans="1:8" x14ac:dyDescent="0.3">
      <c r="A8" s="4">
        <f t="shared" si="1"/>
        <v>45963</v>
      </c>
      <c r="B8" s="23">
        <f t="shared" si="0"/>
        <v>0</v>
      </c>
      <c r="C8" s="7" t="s">
        <v>71</v>
      </c>
      <c r="D8" s="4" t="s">
        <v>9</v>
      </c>
      <c r="E8" s="1">
        <v>2</v>
      </c>
      <c r="F8" s="25" t="s">
        <v>79</v>
      </c>
      <c r="G8" s="1">
        <f>SUM($E$2:E8)/$E$23</f>
        <v>0.46666666666666667</v>
      </c>
    </row>
    <row r="9" spans="1:8" x14ac:dyDescent="0.3">
      <c r="A9" s="4">
        <f t="shared" si="1"/>
        <v>45964</v>
      </c>
      <c r="B9" s="23">
        <f t="shared" si="0"/>
        <v>1</v>
      </c>
      <c r="C9" s="7" t="s">
        <v>11</v>
      </c>
      <c r="D9" s="3" t="s">
        <v>14</v>
      </c>
      <c r="E9" s="1">
        <v>2</v>
      </c>
      <c r="F9" s="25" t="s">
        <v>19</v>
      </c>
      <c r="G9" s="1">
        <f>SUM($E$2:E9)/$E$23</f>
        <v>0.53333333333333333</v>
      </c>
    </row>
    <row r="10" spans="1:8" x14ac:dyDescent="0.3">
      <c r="A10" s="4">
        <f t="shared" si="1"/>
        <v>45970</v>
      </c>
      <c r="B10" s="23">
        <f t="shared" si="0"/>
        <v>0</v>
      </c>
      <c r="C10" s="7" t="s">
        <v>71</v>
      </c>
      <c r="D10" s="4" t="s">
        <v>9</v>
      </c>
      <c r="E10" s="1">
        <v>2</v>
      </c>
      <c r="F10" s="25" t="s">
        <v>20</v>
      </c>
      <c r="G10" s="1">
        <f>SUM($E$2:E10)/$E$23</f>
        <v>0.6</v>
      </c>
    </row>
    <row r="11" spans="1:8" x14ac:dyDescent="0.3">
      <c r="A11" s="4">
        <f t="shared" si="1"/>
        <v>45971</v>
      </c>
      <c r="B11" s="23">
        <f t="shared" si="0"/>
        <v>1</v>
      </c>
      <c r="C11" s="7" t="s">
        <v>11</v>
      </c>
      <c r="D11" s="3" t="s">
        <v>14</v>
      </c>
      <c r="E11" s="1">
        <v>2</v>
      </c>
      <c r="F11" s="25" t="s">
        <v>19</v>
      </c>
      <c r="G11" s="1">
        <f>SUM($E$2:E11)/$E$23</f>
        <v>0.66666666666666663</v>
      </c>
    </row>
    <row r="12" spans="1:8" x14ac:dyDescent="0.3">
      <c r="A12" s="4">
        <f t="shared" si="1"/>
        <v>45977</v>
      </c>
      <c r="B12" s="23">
        <f t="shared" si="0"/>
        <v>0</v>
      </c>
      <c r="C12" s="7" t="s">
        <v>71</v>
      </c>
      <c r="D12" s="4" t="s">
        <v>9</v>
      </c>
      <c r="E12" s="1">
        <v>2</v>
      </c>
      <c r="F12" s="25" t="s">
        <v>21</v>
      </c>
      <c r="G12" s="1">
        <f>SUM($E$2:E12)/$E$23</f>
        <v>0.73333333333333328</v>
      </c>
    </row>
    <row r="13" spans="1:8" x14ac:dyDescent="0.3">
      <c r="A13" s="4">
        <f t="shared" si="1"/>
        <v>45978</v>
      </c>
      <c r="B13" s="23">
        <f t="shared" si="0"/>
        <v>1</v>
      </c>
      <c r="C13" s="7" t="s">
        <v>11</v>
      </c>
      <c r="D13" s="3" t="s">
        <v>14</v>
      </c>
      <c r="E13" s="1">
        <v>2</v>
      </c>
      <c r="F13" s="25" t="s">
        <v>80</v>
      </c>
      <c r="G13" s="1">
        <f>SUM($E$2:E13)/$E$23</f>
        <v>0.8</v>
      </c>
    </row>
    <row r="14" spans="1:8" x14ac:dyDescent="0.3">
      <c r="A14" s="4">
        <f t="shared" si="1"/>
        <v>45984</v>
      </c>
      <c r="B14" s="23">
        <f t="shared" si="0"/>
        <v>0</v>
      </c>
      <c r="C14" s="7" t="s">
        <v>71</v>
      </c>
      <c r="D14" s="4" t="s">
        <v>9</v>
      </c>
      <c r="E14" s="1">
        <v>2</v>
      </c>
      <c r="F14" s="25" t="s">
        <v>52</v>
      </c>
      <c r="G14" s="1">
        <f>SUM($E$2:E14)/$E$23</f>
        <v>0.8666666666666667</v>
      </c>
    </row>
    <row r="15" spans="1:8" x14ac:dyDescent="0.3">
      <c r="A15" s="4">
        <f t="shared" si="1"/>
        <v>45985</v>
      </c>
      <c r="B15" s="23">
        <f t="shared" si="0"/>
        <v>1</v>
      </c>
      <c r="C15" s="7" t="s">
        <v>11</v>
      </c>
      <c r="D15" s="4" t="s">
        <v>14</v>
      </c>
      <c r="E15" s="1">
        <v>2</v>
      </c>
      <c r="F15" s="26" t="s">
        <v>73</v>
      </c>
      <c r="G15" s="1">
        <f>SUM($E$2:E15)/$E$23</f>
        <v>0.93333333333333335</v>
      </c>
    </row>
    <row r="16" spans="1:8" x14ac:dyDescent="0.3">
      <c r="A16" s="4">
        <f t="shared" si="1"/>
        <v>45991</v>
      </c>
      <c r="B16" s="23">
        <f t="shared" si="0"/>
        <v>0</v>
      </c>
      <c r="C16" s="7" t="s">
        <v>71</v>
      </c>
      <c r="D16" s="4" t="s">
        <v>9</v>
      </c>
      <c r="E16" s="1">
        <v>0</v>
      </c>
      <c r="F16" s="25" t="s">
        <v>56</v>
      </c>
      <c r="G16" s="1">
        <f>SUM($E$2:E16)/$E$23</f>
        <v>0.93333333333333335</v>
      </c>
    </row>
    <row r="17" spans="1:7" x14ac:dyDescent="0.3">
      <c r="A17" s="4">
        <f t="shared" si="1"/>
        <v>45992</v>
      </c>
      <c r="B17" s="23">
        <f t="shared" si="0"/>
        <v>1</v>
      </c>
      <c r="C17" s="7" t="s">
        <v>11</v>
      </c>
      <c r="D17" s="4" t="s">
        <v>14</v>
      </c>
      <c r="E17" s="1">
        <v>2</v>
      </c>
      <c r="F17" s="26" t="s">
        <v>74</v>
      </c>
      <c r="G17" s="1">
        <f>SUM($E$2:E17)/$E$23</f>
        <v>1</v>
      </c>
    </row>
    <row r="18" spans="1:7" hidden="1" x14ac:dyDescent="0.3">
      <c r="A18" s="4">
        <f t="shared" si="1"/>
        <v>45998</v>
      </c>
      <c r="B18" s="23">
        <f t="shared" si="0"/>
        <v>0</v>
      </c>
      <c r="C18" s="7" t="s">
        <v>71</v>
      </c>
      <c r="D18" s="4" t="s">
        <v>9</v>
      </c>
      <c r="G18" s="1">
        <f>SUM($E$2:E18)/$E$23</f>
        <v>1</v>
      </c>
    </row>
    <row r="19" spans="1:7" hidden="1" x14ac:dyDescent="0.3">
      <c r="A19" s="4">
        <f t="shared" si="1"/>
        <v>45999</v>
      </c>
      <c r="B19" s="23">
        <f t="shared" si="0"/>
        <v>1</v>
      </c>
      <c r="C19" s="7" t="s">
        <v>11</v>
      </c>
      <c r="D19" s="4" t="s">
        <v>14</v>
      </c>
      <c r="F19" s="13" t="s">
        <v>77</v>
      </c>
      <c r="G19" s="1">
        <f>SUM($E$2:E19)/$E$23</f>
        <v>1</v>
      </c>
    </row>
    <row r="20" spans="1:7" hidden="1" x14ac:dyDescent="0.3">
      <c r="A20" s="4">
        <f t="shared" si="1"/>
        <v>46005</v>
      </c>
      <c r="B20" s="23">
        <f t="shared" si="0"/>
        <v>0</v>
      </c>
      <c r="C20" s="7" t="s">
        <v>71</v>
      </c>
      <c r="D20" s="3" t="s">
        <v>9</v>
      </c>
      <c r="G20" s="1">
        <f>SUM($E$2:E20)/$E$23</f>
        <v>1</v>
      </c>
    </row>
    <row r="21" spans="1:7" hidden="1" x14ac:dyDescent="0.3">
      <c r="A21" s="4">
        <f t="shared" si="1"/>
        <v>46006</v>
      </c>
      <c r="B21" s="23">
        <f t="shared" si="0"/>
        <v>1</v>
      </c>
      <c r="C21" s="7" t="s">
        <v>11</v>
      </c>
      <c r="D21" s="4" t="s">
        <v>14</v>
      </c>
      <c r="G21" s="1">
        <f>SUM($E$2:E21)/$E$23</f>
        <v>1</v>
      </c>
    </row>
    <row r="22" spans="1:7" hidden="1" x14ac:dyDescent="0.3">
      <c r="D22" s="2" t="s">
        <v>26</v>
      </c>
      <c r="E22" s="2">
        <f>SUM(E2:E21)</f>
        <v>30</v>
      </c>
    </row>
    <row r="23" spans="1:7" hidden="1" x14ac:dyDescent="0.3">
      <c r="D23" s="2" t="s">
        <v>27</v>
      </c>
      <c r="E23" s="1">
        <v>30</v>
      </c>
    </row>
  </sheetData>
  <conditionalFormatting sqref="A1:A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21">
    <cfRule type="cellIs" dxfId="4" priority="1" operator="equal">
      <formula>"Theory"</formula>
    </cfRule>
  </conditionalFormatting>
  <conditionalFormatting sqref="F1 E23 D23:D1048576">
    <cfRule type="cellIs" dxfId="3" priority="3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48BDE-AF85-4F5A-91B1-CBAD698B62C1}">
  <dimension ref="A1:H23"/>
  <sheetViews>
    <sheetView zoomScale="190" zoomScaleNormal="190" workbookViewId="0">
      <selection activeCell="A2" sqref="A2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5.21875" customWidth="1"/>
    <col min="8" max="8" width="8.77734375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8" t="s">
        <v>6</v>
      </c>
      <c r="H1" s="21" t="s">
        <v>7</v>
      </c>
    </row>
    <row r="2" spans="1:8" x14ac:dyDescent="0.3">
      <c r="A2" s="4">
        <v>45937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10</v>
      </c>
      <c r="G2" s="22">
        <f>SUM($E$2:E2)/$E$23</f>
        <v>6.6666666666666666E-2</v>
      </c>
    </row>
    <row r="3" spans="1:8" x14ac:dyDescent="0.3">
      <c r="A3" s="4">
        <f>A2</f>
        <v>45937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12</v>
      </c>
      <c r="G3" s="22">
        <f>SUM($E$2:E3)/$E$23</f>
        <v>0.13333333333333333</v>
      </c>
    </row>
    <row r="4" spans="1:8" x14ac:dyDescent="0.3">
      <c r="A4" s="4">
        <f>A3+7</f>
        <v>45944</v>
      </c>
      <c r="B4" s="23">
        <f t="shared" si="0"/>
        <v>2</v>
      </c>
      <c r="C4" s="7" t="s">
        <v>11</v>
      </c>
      <c r="D4" s="3" t="s">
        <v>9</v>
      </c>
      <c r="E4" s="22">
        <v>2</v>
      </c>
      <c r="F4" s="13" t="s">
        <v>13</v>
      </c>
      <c r="G4" s="22">
        <f>SUM($E$2:E4)/$E$23</f>
        <v>0.2</v>
      </c>
      <c r="H4" s="18"/>
    </row>
    <row r="5" spans="1:8" x14ac:dyDescent="0.3">
      <c r="A5" s="4">
        <f>A4+7</f>
        <v>45951</v>
      </c>
      <c r="B5" s="23">
        <f t="shared" si="0"/>
        <v>2</v>
      </c>
      <c r="C5" s="7" t="s">
        <v>11</v>
      </c>
      <c r="D5" s="4" t="s">
        <v>14</v>
      </c>
      <c r="E5" s="22">
        <v>2</v>
      </c>
      <c r="F5" s="13" t="s">
        <v>15</v>
      </c>
      <c r="G5" s="22">
        <f>SUM($E$2:E5)/$E$23</f>
        <v>0.26666666666666666</v>
      </c>
    </row>
    <row r="6" spans="1:8" x14ac:dyDescent="0.3">
      <c r="A6" s="4">
        <f>A5+7</f>
        <v>45958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16</v>
      </c>
      <c r="G6" s="22">
        <f>SUM($E$2:E6)/$E$23</f>
        <v>0.33333333333333331</v>
      </c>
    </row>
    <row r="7" spans="1:8" x14ac:dyDescent="0.3">
      <c r="A7" s="4">
        <f>A6</f>
        <v>45958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17</v>
      </c>
      <c r="G7" s="22">
        <f>SUM($E$2:E7)/$E$23</f>
        <v>0.4</v>
      </c>
    </row>
    <row r="8" spans="1:8" x14ac:dyDescent="0.3">
      <c r="A8" s="4">
        <f>A7+7</f>
        <v>45965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18</v>
      </c>
      <c r="G8" s="22">
        <f>SUM($E$2:E8)/$E$23</f>
        <v>0.46666666666666667</v>
      </c>
    </row>
    <row r="9" spans="1:8" x14ac:dyDescent="0.3">
      <c r="A9" s="4">
        <f>A8</f>
        <v>45965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19</v>
      </c>
      <c r="G9" s="22">
        <f>SUM($E$2:E9)/$E$23</f>
        <v>0.53333333333333333</v>
      </c>
    </row>
    <row r="10" spans="1:8" x14ac:dyDescent="0.3">
      <c r="A10" s="4">
        <f>A9+7</f>
        <v>45972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7" t="s">
        <v>20</v>
      </c>
      <c r="G10" s="22">
        <f>SUM($E$2:E10)/$E$23</f>
        <v>0.6</v>
      </c>
    </row>
    <row r="11" spans="1:8" x14ac:dyDescent="0.3">
      <c r="A11" s="4">
        <f>A10</f>
        <v>45972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13" t="s">
        <v>19</v>
      </c>
      <c r="G11" s="22">
        <f>SUM($E$2:E11)/$E$23</f>
        <v>0.66666666666666663</v>
      </c>
    </row>
    <row r="12" spans="1:8" x14ac:dyDescent="0.3">
      <c r="A12" s="4">
        <f>A11+7</f>
        <v>45979</v>
      </c>
      <c r="B12" s="23">
        <f t="shared" si="0"/>
        <v>2</v>
      </c>
      <c r="C12" s="7" t="s">
        <v>8</v>
      </c>
      <c r="D12" s="4" t="s">
        <v>9</v>
      </c>
      <c r="F12" s="25"/>
      <c r="G12" s="1">
        <f>SUM($E$2:E12)/$E$23</f>
        <v>0.66666666666666663</v>
      </c>
    </row>
    <row r="13" spans="1:8" x14ac:dyDescent="0.3">
      <c r="A13" s="4">
        <f>A12</f>
        <v>45979</v>
      </c>
      <c r="B13" s="23">
        <f t="shared" si="0"/>
        <v>2</v>
      </c>
      <c r="C13" s="7" t="s">
        <v>11</v>
      </c>
      <c r="D13" s="3" t="s">
        <v>14</v>
      </c>
      <c r="E13" s="22">
        <v>2</v>
      </c>
      <c r="F13" s="13" t="s">
        <v>21</v>
      </c>
      <c r="G13" s="22">
        <f>SUM($E$2:E13)/$E$23</f>
        <v>0.73333333333333328</v>
      </c>
    </row>
    <row r="14" spans="1:8" x14ac:dyDescent="0.3">
      <c r="A14" s="4">
        <f>A13+7</f>
        <v>45986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8" t="s">
        <v>23</v>
      </c>
      <c r="G14" s="22">
        <f>SUM($E$2:E14)/$E$23</f>
        <v>0.8</v>
      </c>
    </row>
    <row r="15" spans="1:8" x14ac:dyDescent="0.3">
      <c r="A15" s="4">
        <f>A14</f>
        <v>45986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8"/>
      <c r="G15" s="22">
        <f>SUM($E$2:E15)/$E$23</f>
        <v>0.8666666666666667</v>
      </c>
    </row>
    <row r="16" spans="1:8" x14ac:dyDescent="0.3">
      <c r="A16" s="4">
        <f>A15+7</f>
        <v>45993</v>
      </c>
      <c r="B16" s="23">
        <f t="shared" si="0"/>
        <v>2</v>
      </c>
      <c r="C16" s="7" t="s">
        <v>8</v>
      </c>
      <c r="D16" s="14" t="s">
        <v>22</v>
      </c>
      <c r="E16" s="22">
        <v>2</v>
      </c>
      <c r="F16" s="28" t="s">
        <v>25</v>
      </c>
      <c r="G16" s="22">
        <f>SUM($E$2:E16)/$E$23</f>
        <v>0.93333333333333335</v>
      </c>
    </row>
    <row r="17" spans="1:7" x14ac:dyDescent="0.3">
      <c r="A17" s="4">
        <f>A16</f>
        <v>45993</v>
      </c>
      <c r="B17" s="23">
        <f t="shared" si="0"/>
        <v>2</v>
      </c>
      <c r="C17" s="7" t="s">
        <v>11</v>
      </c>
      <c r="D17" s="14" t="s">
        <v>22</v>
      </c>
      <c r="E17" s="22">
        <v>2</v>
      </c>
      <c r="F17" s="28"/>
      <c r="G17" s="22">
        <f>SUM($E$2:E17)/$E$23</f>
        <v>1</v>
      </c>
    </row>
    <row r="18" spans="1:7" hidden="1" x14ac:dyDescent="0.3">
      <c r="A18" s="4">
        <f>A17+7</f>
        <v>46000</v>
      </c>
      <c r="B18" s="23">
        <f t="shared" si="0"/>
        <v>2</v>
      </c>
      <c r="C18" s="7" t="s">
        <v>8</v>
      </c>
      <c r="G18" s="22">
        <f>SUM($E$2:E18)/$E$23</f>
        <v>1</v>
      </c>
    </row>
    <row r="19" spans="1:7" hidden="1" x14ac:dyDescent="0.3">
      <c r="A19" s="4">
        <f>A18</f>
        <v>46000</v>
      </c>
      <c r="B19" s="23">
        <f t="shared" si="0"/>
        <v>2</v>
      </c>
      <c r="C19" s="7" t="s">
        <v>11</v>
      </c>
      <c r="D19" s="3"/>
      <c r="G19" s="22">
        <f>SUM($E$2:E19)/$E$23</f>
        <v>1</v>
      </c>
    </row>
    <row r="20" spans="1:7" hidden="1" x14ac:dyDescent="0.3">
      <c r="A20" s="4">
        <f>A19+7</f>
        <v>46007</v>
      </c>
      <c r="B20" s="23">
        <f t="shared" si="0"/>
        <v>2</v>
      </c>
      <c r="C20" s="7" t="s">
        <v>8</v>
      </c>
    </row>
    <row r="21" spans="1:7" hidden="1" x14ac:dyDescent="0.3">
      <c r="A21" s="4">
        <f>A20</f>
        <v>46007</v>
      </c>
      <c r="B21" s="23">
        <f t="shared" si="0"/>
        <v>2</v>
      </c>
      <c r="C21" s="7" t="s">
        <v>11</v>
      </c>
    </row>
    <row r="22" spans="1:7" x14ac:dyDescent="0.3">
      <c r="D22" s="1" t="s">
        <v>26</v>
      </c>
      <c r="E22" s="2">
        <f>SUM(E2:E21)</f>
        <v>30</v>
      </c>
    </row>
    <row r="23" spans="1:7" x14ac:dyDescent="0.3">
      <c r="D23" s="1" t="s">
        <v>27</v>
      </c>
      <c r="E23" s="1">
        <v>30</v>
      </c>
    </row>
  </sheetData>
  <mergeCells count="2">
    <mergeCell ref="F14:F15"/>
    <mergeCell ref="F16:F17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7 D19 E23 D23:D1048576">
    <cfRule type="cellIs" dxfId="2" priority="2" operator="equal">
      <formula>"Theory"</formula>
    </cfRule>
  </conditionalFormatting>
  <pageMargins left="0.7" right="0.7" top="0.75" bottom="0.75" header="0.3" footer="0.3"/>
  <pageSetup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A0065-A3C8-4E4D-B5EC-36CCF9E12688}">
  <dimension ref="A1:J32"/>
  <sheetViews>
    <sheetView zoomScale="190" zoomScaleNormal="190" workbookViewId="0">
      <selection activeCell="F6" sqref="F6"/>
    </sheetView>
  </sheetViews>
  <sheetFormatPr defaultRowHeight="14.4" x14ac:dyDescent="0.3"/>
  <cols>
    <col min="1" max="1" width="10.77734375" style="1" bestFit="1" customWidth="1"/>
    <col min="2" max="2" width="9" style="1" bestFit="1" customWidth="1"/>
    <col min="3" max="3" width="17.77734375" style="1" bestFit="1" customWidth="1"/>
    <col min="4" max="4" width="6.77734375" style="1" bestFit="1" customWidth="1"/>
    <col min="5" max="5" width="8.21875" style="1" bestFit="1" customWidth="1"/>
    <col min="6" max="6" width="66.77734375" style="13" bestFit="1" customWidth="1"/>
    <col min="7" max="7" width="12.77734375" style="1" hidden="1" customWidth="1"/>
    <col min="8" max="8" width="24.44140625" style="9" hidden="1" customWidth="1"/>
    <col min="9" max="9" width="5.21875" hidden="1" customWidth="1"/>
    <col min="10" max="10" width="0" hidden="1" customWidth="1"/>
  </cols>
  <sheetData>
    <row r="1" spans="1:10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5" t="s">
        <v>5</v>
      </c>
      <c r="G1" s="2" t="s">
        <v>28</v>
      </c>
      <c r="H1" s="15" t="s">
        <v>29</v>
      </c>
      <c r="I1" s="8" t="s">
        <v>6</v>
      </c>
      <c r="J1" s="21" t="s">
        <v>7</v>
      </c>
    </row>
    <row r="2" spans="1:10" x14ac:dyDescent="0.3">
      <c r="A2" s="4">
        <v>45580</v>
      </c>
      <c r="B2" s="23">
        <f>WEEKDAY(A2)-1</f>
        <v>2</v>
      </c>
      <c r="C2" s="7" t="s">
        <v>8</v>
      </c>
      <c r="D2" s="4" t="s">
        <v>9</v>
      </c>
      <c r="E2" s="22">
        <v>2</v>
      </c>
      <c r="F2" s="13" t="s">
        <v>30</v>
      </c>
      <c r="G2" s="17">
        <v>3</v>
      </c>
      <c r="H2" s="19" t="s">
        <v>30</v>
      </c>
      <c r="I2" s="10">
        <f>SUM($E$2:E2)/$E$23</f>
        <v>6.6666666666666666E-2</v>
      </c>
    </row>
    <row r="3" spans="1:10" x14ac:dyDescent="0.3">
      <c r="A3" s="4">
        <f>A2</f>
        <v>45580</v>
      </c>
      <c r="B3" s="23">
        <f t="shared" ref="B3:B21" si="0">WEEKDAY(A3)-1</f>
        <v>2</v>
      </c>
      <c r="C3" s="7" t="s">
        <v>11</v>
      </c>
      <c r="D3" s="4" t="s">
        <v>9</v>
      </c>
      <c r="E3" s="22">
        <v>2</v>
      </c>
      <c r="F3" s="13" t="s">
        <v>31</v>
      </c>
      <c r="G3" s="17">
        <v>2</v>
      </c>
      <c r="H3" s="19" t="s">
        <v>32</v>
      </c>
      <c r="I3" s="10">
        <f>SUM($E$2:E3)/$E$23</f>
        <v>0.13333333333333333</v>
      </c>
      <c r="J3" t="s">
        <v>33</v>
      </c>
    </row>
    <row r="4" spans="1:10" x14ac:dyDescent="0.3">
      <c r="A4" s="4">
        <f>A3+7</f>
        <v>45587</v>
      </c>
      <c r="B4" s="23">
        <f t="shared" si="0"/>
        <v>2</v>
      </c>
      <c r="C4" s="7" t="s">
        <v>8</v>
      </c>
      <c r="D4" s="3" t="s">
        <v>9</v>
      </c>
      <c r="E4" s="22">
        <v>2</v>
      </c>
      <c r="F4" s="13" t="s">
        <v>31</v>
      </c>
      <c r="G4" s="17">
        <v>2</v>
      </c>
      <c r="H4" s="20" t="s">
        <v>34</v>
      </c>
      <c r="I4" s="10">
        <f>SUM($E$2:E4)/$E$23</f>
        <v>0.2</v>
      </c>
      <c r="J4" s="18" t="s">
        <v>35</v>
      </c>
    </row>
    <row r="5" spans="1:10" x14ac:dyDescent="0.3">
      <c r="A5" s="4">
        <f>A3+8</f>
        <v>45588</v>
      </c>
      <c r="B5" s="23">
        <f t="shared" si="0"/>
        <v>3</v>
      </c>
      <c r="C5" s="7" t="s">
        <v>36</v>
      </c>
      <c r="D5" s="4" t="s">
        <v>14</v>
      </c>
      <c r="E5" s="22">
        <v>3</v>
      </c>
      <c r="F5" s="13" t="s">
        <v>37</v>
      </c>
      <c r="G5" s="17">
        <v>3</v>
      </c>
      <c r="H5" s="20" t="s">
        <v>38</v>
      </c>
      <c r="I5" s="10">
        <f>SUM($E$2:E5)/$E$23</f>
        <v>0.3</v>
      </c>
      <c r="J5" t="s">
        <v>39</v>
      </c>
    </row>
    <row r="6" spans="1:10" x14ac:dyDescent="0.3">
      <c r="A6" s="4">
        <v>45601</v>
      </c>
      <c r="B6" s="23">
        <f t="shared" si="0"/>
        <v>2</v>
      </c>
      <c r="C6" s="7" t="s">
        <v>8</v>
      </c>
      <c r="D6" s="4" t="s">
        <v>9</v>
      </c>
      <c r="E6" s="22">
        <v>2</v>
      </c>
      <c r="F6" s="13" t="s">
        <v>40</v>
      </c>
      <c r="G6" s="17">
        <v>2</v>
      </c>
      <c r="H6" s="20" t="s">
        <v>40</v>
      </c>
      <c r="I6" s="10">
        <f>SUM($E$2:E6)/$E$23</f>
        <v>0.36666666666666664</v>
      </c>
      <c r="J6" t="s">
        <v>41</v>
      </c>
    </row>
    <row r="7" spans="1:10" x14ac:dyDescent="0.3">
      <c r="A7" s="4">
        <f>A6</f>
        <v>45601</v>
      </c>
      <c r="B7" s="23">
        <f t="shared" si="0"/>
        <v>2</v>
      </c>
      <c r="C7" s="7" t="s">
        <v>11</v>
      </c>
      <c r="D7" s="3" t="s">
        <v>14</v>
      </c>
      <c r="E7" s="22">
        <v>2</v>
      </c>
      <c r="F7" s="13" t="s">
        <v>42</v>
      </c>
      <c r="G7" s="17">
        <v>2</v>
      </c>
      <c r="H7" s="20" t="s">
        <v>42</v>
      </c>
      <c r="I7" s="10">
        <f>SUM($E$2:E7)/$E$23</f>
        <v>0.43333333333333335</v>
      </c>
    </row>
    <row r="8" spans="1:10" x14ac:dyDescent="0.3">
      <c r="A8" s="4">
        <f>A7+7</f>
        <v>45608</v>
      </c>
      <c r="B8" s="23">
        <f t="shared" si="0"/>
        <v>2</v>
      </c>
      <c r="C8" s="7" t="s">
        <v>8</v>
      </c>
      <c r="D8" s="4" t="s">
        <v>9</v>
      </c>
      <c r="E8" s="22">
        <v>2</v>
      </c>
      <c r="F8" s="13" t="s">
        <v>43</v>
      </c>
      <c r="G8" s="17">
        <v>3</v>
      </c>
      <c r="H8" s="20" t="s">
        <v>43</v>
      </c>
      <c r="I8" s="10">
        <f>SUM($E$2:E8)/$E$23</f>
        <v>0.5</v>
      </c>
    </row>
    <row r="9" spans="1:10" x14ac:dyDescent="0.3">
      <c r="A9" s="4">
        <f>A8</f>
        <v>45608</v>
      </c>
      <c r="B9" s="23">
        <f t="shared" si="0"/>
        <v>2</v>
      </c>
      <c r="C9" s="7" t="s">
        <v>11</v>
      </c>
      <c r="D9" s="3" t="s">
        <v>14</v>
      </c>
      <c r="E9" s="22">
        <v>2</v>
      </c>
      <c r="F9" s="13" t="s">
        <v>44</v>
      </c>
      <c r="G9" s="17">
        <v>2</v>
      </c>
      <c r="H9" s="20" t="s">
        <v>45</v>
      </c>
      <c r="I9" s="10">
        <f>SUM($E$2:E9)/$E$23</f>
        <v>0.56666666666666665</v>
      </c>
      <c r="J9" t="s">
        <v>46</v>
      </c>
    </row>
    <row r="10" spans="1:10" x14ac:dyDescent="0.3">
      <c r="A10" s="4">
        <f>A9+7</f>
        <v>45615</v>
      </c>
      <c r="B10" s="23">
        <f t="shared" si="0"/>
        <v>2</v>
      </c>
      <c r="C10" s="7" t="s">
        <v>8</v>
      </c>
      <c r="D10" s="4" t="s">
        <v>9</v>
      </c>
      <c r="E10" s="22">
        <v>2</v>
      </c>
      <c r="F10" s="13" t="s">
        <v>47</v>
      </c>
      <c r="G10" s="17">
        <v>2</v>
      </c>
      <c r="H10" s="20" t="s">
        <v>44</v>
      </c>
      <c r="I10" s="10">
        <f>SUM($E$2:E10)/$E$23</f>
        <v>0.6333333333333333</v>
      </c>
      <c r="J10" t="s">
        <v>48</v>
      </c>
    </row>
    <row r="11" spans="1:10" x14ac:dyDescent="0.3">
      <c r="A11" s="4">
        <f>A10</f>
        <v>45615</v>
      </c>
      <c r="B11" s="23">
        <f t="shared" si="0"/>
        <v>2</v>
      </c>
      <c r="C11" s="7" t="s">
        <v>11</v>
      </c>
      <c r="D11" s="3" t="s">
        <v>14</v>
      </c>
      <c r="E11" s="22">
        <v>2</v>
      </c>
      <c r="F11" s="13" t="s">
        <v>45</v>
      </c>
      <c r="G11" s="17">
        <v>3</v>
      </c>
      <c r="H11" s="20" t="s">
        <v>49</v>
      </c>
      <c r="I11" s="10">
        <f>SUM($E$2:E11)/$E$23</f>
        <v>0.7</v>
      </c>
    </row>
    <row r="12" spans="1:10" x14ac:dyDescent="0.3">
      <c r="A12" s="4">
        <f>A11+7</f>
        <v>45622</v>
      </c>
      <c r="B12" s="23">
        <f t="shared" si="0"/>
        <v>2</v>
      </c>
      <c r="C12" s="7" t="s">
        <v>8</v>
      </c>
      <c r="D12" s="14" t="s">
        <v>22</v>
      </c>
      <c r="E12" s="22">
        <v>2</v>
      </c>
      <c r="F12" s="29" t="s">
        <v>50</v>
      </c>
      <c r="G12" s="17">
        <v>2</v>
      </c>
      <c r="H12" s="20" t="s">
        <v>51</v>
      </c>
      <c r="I12" s="10">
        <f>SUM($E$2:E12)/$E$23</f>
        <v>0.76666666666666672</v>
      </c>
    </row>
    <row r="13" spans="1:10" x14ac:dyDescent="0.3">
      <c r="A13" s="4">
        <f>A12</f>
        <v>45622</v>
      </c>
      <c r="B13" s="23">
        <f t="shared" si="0"/>
        <v>2</v>
      </c>
      <c r="C13" s="7" t="s">
        <v>11</v>
      </c>
      <c r="D13" s="14" t="s">
        <v>22</v>
      </c>
      <c r="E13" s="22">
        <v>2</v>
      </c>
      <c r="F13" s="29"/>
      <c r="G13" s="17">
        <v>2</v>
      </c>
      <c r="H13" s="20" t="s">
        <v>52</v>
      </c>
      <c r="I13" s="10">
        <f>SUM($E$2:E13)/$E$23</f>
        <v>0.83333333333333337</v>
      </c>
    </row>
    <row r="14" spans="1:10" x14ac:dyDescent="0.3">
      <c r="A14" s="4">
        <f>A13+7</f>
        <v>45629</v>
      </c>
      <c r="B14" s="23">
        <f t="shared" si="0"/>
        <v>2</v>
      </c>
      <c r="C14" s="7" t="s">
        <v>8</v>
      </c>
      <c r="D14" s="14" t="s">
        <v>22</v>
      </c>
      <c r="E14" s="22">
        <v>2</v>
      </c>
      <c r="F14" s="29" t="s">
        <v>53</v>
      </c>
      <c r="G14" s="17">
        <v>3</v>
      </c>
      <c r="H14" s="20" t="s">
        <v>54</v>
      </c>
      <c r="I14" s="10">
        <f>SUM($E$2:E14)/$E$23</f>
        <v>0.9</v>
      </c>
      <c r="J14" t="s">
        <v>55</v>
      </c>
    </row>
    <row r="15" spans="1:10" x14ac:dyDescent="0.3">
      <c r="A15" s="4">
        <f>A14</f>
        <v>45629</v>
      </c>
      <c r="B15" s="23">
        <f t="shared" si="0"/>
        <v>2</v>
      </c>
      <c r="C15" s="7" t="s">
        <v>24</v>
      </c>
      <c r="D15" s="14" t="s">
        <v>22</v>
      </c>
      <c r="E15" s="22">
        <v>2</v>
      </c>
      <c r="F15" s="29"/>
      <c r="G15" s="1" t="s">
        <v>56</v>
      </c>
      <c r="H15" s="13"/>
      <c r="I15" s="10">
        <f>SUM($E$2:E15)/$E$23</f>
        <v>0.96666666666666667</v>
      </c>
      <c r="J15" t="s">
        <v>57</v>
      </c>
    </row>
    <row r="16" spans="1:10" x14ac:dyDescent="0.3">
      <c r="A16" s="4">
        <f>A15+7</f>
        <v>45636</v>
      </c>
      <c r="B16" s="23">
        <f t="shared" si="0"/>
        <v>2</v>
      </c>
      <c r="C16" s="7" t="s">
        <v>8</v>
      </c>
      <c r="D16" s="1" t="s">
        <v>56</v>
      </c>
      <c r="E16" s="1" t="s">
        <v>56</v>
      </c>
      <c r="G16" s="1" t="s">
        <v>56</v>
      </c>
      <c r="H16" s="16"/>
      <c r="I16" s="10">
        <f>SUM($E$2:E17)/$E$23</f>
        <v>1.0333333333333334</v>
      </c>
    </row>
    <row r="17" spans="1:9" x14ac:dyDescent="0.3">
      <c r="A17" s="4">
        <f>A16</f>
        <v>45636</v>
      </c>
      <c r="B17" s="23">
        <f t="shared" si="0"/>
        <v>2</v>
      </c>
      <c r="C17" s="7" t="s">
        <v>11</v>
      </c>
      <c r="D17" s="3" t="s">
        <v>9</v>
      </c>
      <c r="E17" s="22">
        <v>2</v>
      </c>
      <c r="F17" s="13" t="s">
        <v>52</v>
      </c>
      <c r="G17" s="1" t="s">
        <v>56</v>
      </c>
      <c r="H17" s="13"/>
      <c r="I17" s="10">
        <f>SUM($E$2:E17)/$E$23</f>
        <v>1.0333333333333334</v>
      </c>
    </row>
    <row r="18" spans="1:9" hidden="1" x14ac:dyDescent="0.3">
      <c r="A18" s="4">
        <f>A17+7</f>
        <v>45643</v>
      </c>
      <c r="B18" s="23">
        <f t="shared" si="0"/>
        <v>2</v>
      </c>
      <c r="C18" s="7" t="s">
        <v>8</v>
      </c>
      <c r="D18" s="4"/>
      <c r="E18" s="1" t="s">
        <v>56</v>
      </c>
      <c r="G18" s="1" t="s">
        <v>56</v>
      </c>
      <c r="H18" s="16"/>
      <c r="I18" s="10">
        <f>SUM($E$2:E18)/$E$23</f>
        <v>1.0333333333333334</v>
      </c>
    </row>
    <row r="19" spans="1:9" hidden="1" x14ac:dyDescent="0.3">
      <c r="A19" s="4">
        <f>A18</f>
        <v>45643</v>
      </c>
      <c r="B19" s="23">
        <f t="shared" si="0"/>
        <v>2</v>
      </c>
      <c r="C19" s="7" t="s">
        <v>11</v>
      </c>
      <c r="D19" s="3"/>
      <c r="E19" s="1" t="s">
        <v>56</v>
      </c>
      <c r="G19" s="1" t="s">
        <v>56</v>
      </c>
      <c r="H19" s="15"/>
      <c r="I19" s="10">
        <f>SUM($E$2:E19)/$E$23</f>
        <v>1.0333333333333334</v>
      </c>
    </row>
    <row r="20" spans="1:9" hidden="1" x14ac:dyDescent="0.3">
      <c r="A20" s="4">
        <f>A19+7</f>
        <v>45650</v>
      </c>
      <c r="B20" s="23">
        <f t="shared" si="0"/>
        <v>2</v>
      </c>
      <c r="C20" s="7" t="s">
        <v>8</v>
      </c>
      <c r="E20" s="1" t="s">
        <v>56</v>
      </c>
      <c r="G20" s="1" t="s">
        <v>56</v>
      </c>
    </row>
    <row r="21" spans="1:9" hidden="1" x14ac:dyDescent="0.3">
      <c r="A21" s="4">
        <f>A20</f>
        <v>45650</v>
      </c>
      <c r="B21" s="23">
        <f t="shared" si="0"/>
        <v>2</v>
      </c>
      <c r="C21" s="7" t="s">
        <v>11</v>
      </c>
      <c r="E21" s="1" t="s">
        <v>56</v>
      </c>
      <c r="G21" s="1" t="s">
        <v>56</v>
      </c>
    </row>
    <row r="22" spans="1:9" x14ac:dyDescent="0.3">
      <c r="D22" s="1" t="s">
        <v>26</v>
      </c>
      <c r="E22" s="2">
        <f>SUM(E2:E21)</f>
        <v>31</v>
      </c>
    </row>
    <row r="23" spans="1:9" x14ac:dyDescent="0.3">
      <c r="D23" s="1" t="s">
        <v>27</v>
      </c>
      <c r="E23" s="1">
        <v>30</v>
      </c>
    </row>
    <row r="32" spans="1:9" x14ac:dyDescent="0.3">
      <c r="E32" s="24"/>
    </row>
  </sheetData>
  <mergeCells count="2">
    <mergeCell ref="F12:F13"/>
    <mergeCell ref="F14:F15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 D1:D15 D17:D19 E23 D23:D1048576">
    <cfRule type="cellIs" dxfId="1" priority="2" operator="equal">
      <formula>"Theory"</formula>
    </cfRule>
  </conditionalFormatting>
  <hyperlinks>
    <hyperlink ref="J4" r:id="rId1" xr:uid="{922831C9-06CF-4175-BF25-76682238DB37}"/>
  </hyperlinks>
  <pageMargins left="0.7" right="0.7" top="0.75" bottom="0.75" header="0.3" footer="0.3"/>
  <pageSetup orientation="portrait" horizontalDpi="4294967293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zoomScale="160" zoomScaleNormal="160" workbookViewId="0">
      <selection activeCell="A17" sqref="A2:A17"/>
    </sheetView>
  </sheetViews>
  <sheetFormatPr defaultRowHeight="14.4" x14ac:dyDescent="0.3"/>
  <cols>
    <col min="1" max="1" width="11" style="1" bestFit="1" customWidth="1"/>
    <col min="2" max="2" width="4.21875" style="1" bestFit="1" customWidth="1"/>
    <col min="3" max="3" width="18" style="1" bestFit="1" customWidth="1"/>
    <col min="4" max="4" width="7.21875" style="1" bestFit="1" customWidth="1"/>
    <col min="5" max="5" width="8.77734375" style="1" bestFit="1" customWidth="1"/>
    <col min="6" max="6" width="52.77734375" style="1" customWidth="1"/>
    <col min="7" max="7" width="9.21875" style="9"/>
    <col min="8" max="8" width="0" hidden="1" customWidth="1"/>
  </cols>
  <sheetData>
    <row r="1" spans="1: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8" t="s">
        <v>6</v>
      </c>
      <c r="H1" s="2" t="s">
        <v>58</v>
      </c>
    </row>
    <row r="2" spans="1:8" x14ac:dyDescent="0.3">
      <c r="A2" s="4">
        <v>44860</v>
      </c>
      <c r="B2" s="3">
        <f>WEEKDAY(A2)-1</f>
        <v>3</v>
      </c>
      <c r="C2" s="7" t="s">
        <v>59</v>
      </c>
      <c r="D2" s="4" t="s">
        <v>9</v>
      </c>
      <c r="E2" s="1">
        <v>2</v>
      </c>
      <c r="F2" s="30" t="s">
        <v>30</v>
      </c>
      <c r="G2" s="10">
        <f>SUM($E$2:E2)/$E$18</f>
        <v>6.6666666666666666E-2</v>
      </c>
      <c r="H2" s="31" t="s">
        <v>60</v>
      </c>
    </row>
    <row r="3" spans="1:8" x14ac:dyDescent="0.3">
      <c r="A3" s="4">
        <v>44860</v>
      </c>
      <c r="B3" s="3">
        <f t="shared" ref="B3:B17" si="0">WEEKDAY(A3)-1</f>
        <v>3</v>
      </c>
      <c r="C3" s="7" t="s">
        <v>61</v>
      </c>
      <c r="D3" s="4" t="s">
        <v>9</v>
      </c>
      <c r="E3" s="1">
        <v>2</v>
      </c>
      <c r="F3" s="30"/>
      <c r="G3" s="10">
        <f>SUM($E$2:E3)/$E$18</f>
        <v>0.13333333333333333</v>
      </c>
      <c r="H3" s="31"/>
    </row>
    <row r="4" spans="1:8" x14ac:dyDescent="0.3">
      <c r="A4" s="4">
        <v>44867</v>
      </c>
      <c r="B4" s="3">
        <f t="shared" si="0"/>
        <v>3</v>
      </c>
      <c r="C4" s="7" t="s">
        <v>59</v>
      </c>
      <c r="D4" s="3" t="s">
        <v>14</v>
      </c>
      <c r="E4" s="1">
        <v>2</v>
      </c>
      <c r="F4" t="s">
        <v>34</v>
      </c>
      <c r="G4" s="10">
        <f>SUM($E$2:E4)/$E$18</f>
        <v>0.2</v>
      </c>
      <c r="H4" s="1"/>
    </row>
    <row r="5" spans="1:8" x14ac:dyDescent="0.3">
      <c r="A5" s="4">
        <v>44867</v>
      </c>
      <c r="B5" s="3">
        <f t="shared" si="0"/>
        <v>3</v>
      </c>
      <c r="C5" s="7" t="s">
        <v>61</v>
      </c>
      <c r="D5" s="3" t="s">
        <v>9</v>
      </c>
      <c r="E5" s="1">
        <v>2</v>
      </c>
      <c r="F5" t="s">
        <v>40</v>
      </c>
      <c r="G5" s="10">
        <f>SUM($E$2:E5)/$E$18</f>
        <v>0.26666666666666666</v>
      </c>
      <c r="H5" s="1">
        <v>40</v>
      </c>
    </row>
    <row r="6" spans="1:8" x14ac:dyDescent="0.3">
      <c r="A6" s="4">
        <v>44874</v>
      </c>
      <c r="B6" s="3">
        <f t="shared" si="0"/>
        <v>3</v>
      </c>
      <c r="C6" s="7" t="s">
        <v>59</v>
      </c>
      <c r="D6" s="3" t="s">
        <v>14</v>
      </c>
      <c r="E6" s="1">
        <v>2</v>
      </c>
      <c r="F6" t="s">
        <v>62</v>
      </c>
      <c r="G6" s="10">
        <f>SUM($E$2:E6)/$E$18</f>
        <v>0.33333333333333331</v>
      </c>
      <c r="H6" s="1"/>
    </row>
    <row r="7" spans="1:8" x14ac:dyDescent="0.3">
      <c r="A7" s="4">
        <v>44874</v>
      </c>
      <c r="B7" s="3">
        <f t="shared" si="0"/>
        <v>3</v>
      </c>
      <c r="C7" s="7" t="s">
        <v>61</v>
      </c>
      <c r="D7" s="3" t="s">
        <v>9</v>
      </c>
      <c r="E7" s="1">
        <v>2</v>
      </c>
      <c r="F7" t="s">
        <v>43</v>
      </c>
      <c r="G7" s="10">
        <f>SUM($E$2:E7)/$E$18</f>
        <v>0.4</v>
      </c>
      <c r="H7" s="1">
        <v>28</v>
      </c>
    </row>
    <row r="8" spans="1:8" x14ac:dyDescent="0.3">
      <c r="A8" s="4">
        <v>44881</v>
      </c>
      <c r="B8" s="3">
        <f t="shared" si="0"/>
        <v>3</v>
      </c>
      <c r="C8" s="7" t="s">
        <v>59</v>
      </c>
      <c r="D8" s="3" t="s">
        <v>14</v>
      </c>
      <c r="E8" s="1">
        <v>2</v>
      </c>
      <c r="F8" t="s">
        <v>44</v>
      </c>
      <c r="G8" s="10">
        <f>SUM($E$2:E8)/$E$18</f>
        <v>0.46666666666666667</v>
      </c>
      <c r="H8" s="1"/>
    </row>
    <row r="9" spans="1:8" x14ac:dyDescent="0.3">
      <c r="A9" s="4">
        <v>44881</v>
      </c>
      <c r="B9" s="3">
        <f t="shared" si="0"/>
        <v>3</v>
      </c>
      <c r="C9" s="7" t="s">
        <v>61</v>
      </c>
      <c r="D9" s="3" t="s">
        <v>9</v>
      </c>
      <c r="E9" s="1">
        <v>2</v>
      </c>
      <c r="F9" t="s">
        <v>45</v>
      </c>
      <c r="G9" s="10">
        <f>SUM($E$2:E9)/$E$18</f>
        <v>0.53333333333333333</v>
      </c>
      <c r="H9" s="1" t="s">
        <v>63</v>
      </c>
    </row>
    <row r="10" spans="1:8" x14ac:dyDescent="0.3">
      <c r="A10" s="4">
        <v>44888</v>
      </c>
      <c r="B10" s="3">
        <f t="shared" si="0"/>
        <v>3</v>
      </c>
      <c r="C10" s="7" t="s">
        <v>59</v>
      </c>
      <c r="D10" s="3" t="s">
        <v>14</v>
      </c>
      <c r="E10" s="1" t="s">
        <v>56</v>
      </c>
      <c r="F10" t="s">
        <v>56</v>
      </c>
      <c r="G10" s="9" t="s">
        <v>56</v>
      </c>
      <c r="H10" s="1"/>
    </row>
    <row r="11" spans="1:8" x14ac:dyDescent="0.3">
      <c r="A11" s="4">
        <v>44888</v>
      </c>
      <c r="B11" s="3">
        <f t="shared" si="0"/>
        <v>3</v>
      </c>
      <c r="C11" s="7" t="s">
        <v>61</v>
      </c>
      <c r="D11" s="3" t="s">
        <v>9</v>
      </c>
      <c r="E11" s="1" t="s">
        <v>56</v>
      </c>
      <c r="F11" t="s">
        <v>56</v>
      </c>
      <c r="G11" s="9" t="s">
        <v>56</v>
      </c>
      <c r="H11" s="1"/>
    </row>
    <row r="12" spans="1:8" x14ac:dyDescent="0.3">
      <c r="A12" s="4">
        <v>44893</v>
      </c>
      <c r="B12" s="3">
        <f t="shared" si="0"/>
        <v>1</v>
      </c>
      <c r="C12" s="7" t="s">
        <v>64</v>
      </c>
      <c r="D12" s="3" t="s">
        <v>14</v>
      </c>
      <c r="E12" s="1">
        <v>4</v>
      </c>
      <c r="F12" t="s">
        <v>65</v>
      </c>
      <c r="G12" s="10">
        <f>SUM($E$2:E12)/$E$18</f>
        <v>0.66666666666666663</v>
      </c>
      <c r="H12" s="1"/>
    </row>
    <row r="13" spans="1:8" x14ac:dyDescent="0.3">
      <c r="A13" s="4">
        <v>44895</v>
      </c>
      <c r="B13" s="3">
        <f t="shared" si="0"/>
        <v>3</v>
      </c>
      <c r="C13" s="7" t="s">
        <v>59</v>
      </c>
      <c r="D13" s="3" t="s">
        <v>14</v>
      </c>
      <c r="E13" s="1" t="s">
        <v>56</v>
      </c>
      <c r="G13" s="9" t="s">
        <v>56</v>
      </c>
      <c r="H13" s="1">
        <v>27</v>
      </c>
    </row>
    <row r="14" spans="1:8" x14ac:dyDescent="0.3">
      <c r="A14" s="4">
        <v>44895</v>
      </c>
      <c r="B14" s="3">
        <f t="shared" si="0"/>
        <v>3</v>
      </c>
      <c r="C14" s="7" t="s">
        <v>61</v>
      </c>
      <c r="D14" s="3" t="s">
        <v>9</v>
      </c>
      <c r="E14" s="1" t="s">
        <v>56</v>
      </c>
      <c r="G14" s="9" t="s">
        <v>56</v>
      </c>
      <c r="H14" s="1"/>
    </row>
    <row r="15" spans="1:8" x14ac:dyDescent="0.3">
      <c r="A15" s="4">
        <v>44900</v>
      </c>
      <c r="B15" s="3">
        <f t="shared" si="0"/>
        <v>1</v>
      </c>
      <c r="C15" s="12" t="s">
        <v>66</v>
      </c>
      <c r="D15" s="6" t="s">
        <v>22</v>
      </c>
      <c r="E15" s="1">
        <v>4</v>
      </c>
      <c r="F15" s="11" t="s">
        <v>67</v>
      </c>
      <c r="G15" s="10">
        <f>SUM($E$2:E15)/$E$18</f>
        <v>0.8</v>
      </c>
      <c r="H15" s="1"/>
    </row>
    <row r="16" spans="1:8" x14ac:dyDescent="0.3">
      <c r="A16" s="4">
        <v>44902</v>
      </c>
      <c r="B16" s="3">
        <f t="shared" si="0"/>
        <v>3</v>
      </c>
      <c r="C16" s="7" t="s">
        <v>61</v>
      </c>
      <c r="D16" s="3" t="s">
        <v>9</v>
      </c>
      <c r="E16" s="1">
        <v>2</v>
      </c>
      <c r="F16" t="s">
        <v>68</v>
      </c>
      <c r="G16" s="10">
        <f>SUM($E$2:E16)/$E$18</f>
        <v>0.8666666666666667</v>
      </c>
      <c r="H16" s="1"/>
    </row>
    <row r="17" spans="1:8" x14ac:dyDescent="0.3">
      <c r="A17" s="4">
        <v>44907</v>
      </c>
      <c r="B17" s="3">
        <f t="shared" si="0"/>
        <v>1</v>
      </c>
      <c r="C17" s="12" t="s">
        <v>66</v>
      </c>
      <c r="D17" s="6" t="s">
        <v>22</v>
      </c>
      <c r="E17" s="1">
        <v>4</v>
      </c>
      <c r="F17" s="11" t="s">
        <v>69</v>
      </c>
      <c r="G17" s="10">
        <f>SUM($E$2:E17)/$E$18</f>
        <v>1</v>
      </c>
      <c r="H17" s="1"/>
    </row>
    <row r="18" spans="1:8" x14ac:dyDescent="0.3">
      <c r="C18" s="5" t="s">
        <v>70</v>
      </c>
      <c r="D18" s="5"/>
      <c r="E18" s="2">
        <f>SUM(E2:E17)</f>
        <v>30</v>
      </c>
      <c r="F18" s="2"/>
    </row>
  </sheetData>
  <mergeCells count="2">
    <mergeCell ref="F2:F3"/>
    <mergeCell ref="H2:H3"/>
  </mergeCells>
  <conditionalFormatting sqref="A1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ellIs" dxfId="0" priority="4" operator="equal">
      <formula>"Theory"</formula>
    </cfRule>
  </conditionalFormatting>
  <pageMargins left="0.7" right="0.7" top="0.75" bottom="0.75" header="0.3" footer="0.3"/>
  <pageSetup orientation="portrait" horizontalDpi="4294967293" r:id="rId1"/>
  <ignoredErrors>
    <ignoredError sqref="G3:G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AA2627</vt:lpstr>
      <vt:lpstr>AA2526</vt:lpstr>
      <vt:lpstr>AA2425</vt:lpstr>
      <vt:lpstr>AA2223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Matteo Francia</dc:creator>
  <cp:keywords/>
  <dc:description/>
  <cp:lastModifiedBy>Matteo Francia</cp:lastModifiedBy>
  <cp:revision/>
  <dcterms:created xsi:type="dcterms:W3CDTF">2015-06-05T18:19:34Z</dcterms:created>
  <dcterms:modified xsi:type="dcterms:W3CDTF">2026-10-26T11:14:43Z</dcterms:modified>
  <cp:category/>
  <cp:contentStatus/>
</cp:coreProperties>
</file>