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bdcp\"/>
    </mc:Choice>
  </mc:AlternateContent>
  <xr:revisionPtr revIDLastSave="0" documentId="13_ncr:1_{381DDD00-04AD-4F57-A676-0CBE0266AA8F}" xr6:coauthVersionLast="47" xr6:coauthVersionMax="47" xr10:uidLastSave="{00000000-0000-0000-0000-000000000000}"/>
  <bookViews>
    <workbookView xWindow="-96" yWindow="-96" windowWidth="46272" windowHeight="25392" xr2:uid="{00000000-000D-0000-FFFF-FFFF00000000}"/>
  </bookViews>
  <sheets>
    <sheet name="AA2627" sheetId="4" r:id="rId1"/>
    <sheet name="AA2526" sheetId="3" r:id="rId2"/>
    <sheet name="AA2425" sheetId="2" r:id="rId3"/>
    <sheet name="AA2223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9" i="4" l="1"/>
  <c r="A18" i="4"/>
  <c r="G20" i="4"/>
  <c r="G21" i="4"/>
  <c r="A7" i="4"/>
  <c r="A9" i="4"/>
  <c r="A11" i="4" s="1"/>
  <c r="A13" i="4" s="1"/>
  <c r="A15" i="4" s="1"/>
  <c r="A17" i="4" s="1"/>
  <c r="A5" i="4"/>
  <c r="A4" i="4"/>
  <c r="A6" i="4" s="1"/>
  <c r="A8" i="4" s="1"/>
  <c r="A10" i="4" s="1"/>
  <c r="A12" i="4" s="1"/>
  <c r="A14" i="4" s="1"/>
  <c r="A16" i="4" s="1"/>
  <c r="E2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2" i="4"/>
  <c r="G17" i="3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4" i="4" l="1"/>
  <c r="B3" i="4"/>
  <c r="B3" i="3"/>
  <c r="A4" i="3"/>
  <c r="A4" i="2"/>
  <c r="G9" i="1"/>
  <c r="G8" i="1"/>
  <c r="G2" i="1"/>
  <c r="G7" i="1"/>
  <c r="G17" i="1"/>
  <c r="G6" i="1"/>
  <c r="G15" i="1"/>
  <c r="G5" i="1"/>
  <c r="G4" i="1"/>
  <c r="B5" i="4" l="1"/>
  <c r="B4" i="3"/>
  <c r="A5" i="3"/>
  <c r="A7" i="2"/>
  <c r="B6" i="4" l="1"/>
  <c r="A6" i="3"/>
  <c r="B5" i="3"/>
  <c r="A8" i="2"/>
  <c r="B7" i="4" l="1"/>
  <c r="B6" i="3"/>
  <c r="A7" i="3"/>
  <c r="A9" i="2"/>
  <c r="B8" i="4" l="1"/>
  <c r="B7" i="3"/>
  <c r="A8" i="3"/>
  <c r="A10" i="2"/>
  <c r="B9" i="4" l="1"/>
  <c r="A9" i="3"/>
  <c r="B8" i="3"/>
  <c r="A11" i="2"/>
  <c r="B10" i="4" l="1"/>
  <c r="B9" i="3"/>
  <c r="A10" i="3"/>
  <c r="A12" i="2"/>
  <c r="B11" i="4" l="1"/>
  <c r="B10" i="3"/>
  <c r="A11" i="3"/>
  <c r="A13" i="2"/>
  <c r="B12" i="4" l="1"/>
  <c r="B11" i="3"/>
  <c r="A12" i="3"/>
  <c r="A14" i="2"/>
  <c r="B13" i="4" l="1"/>
  <c r="A13" i="3"/>
  <c r="B12" i="3"/>
  <c r="A15" i="2"/>
  <c r="B14" i="4" l="1"/>
  <c r="B13" i="3"/>
  <c r="A14" i="3"/>
  <c r="A16" i="2"/>
  <c r="B15" i="4" l="1"/>
  <c r="A15" i="3"/>
  <c r="B14" i="3"/>
  <c r="A17" i="2"/>
  <c r="B16" i="4" l="1"/>
  <c r="A16" i="3"/>
  <c r="B15" i="3"/>
  <c r="A18" i="2"/>
  <c r="B17" i="4" l="1"/>
  <c r="A17" i="3"/>
  <c r="B16" i="3"/>
  <c r="A19" i="2"/>
  <c r="B19" i="2" s="1"/>
  <c r="B18" i="4" l="1"/>
  <c r="B17" i="3"/>
  <c r="A18" i="3"/>
  <c r="A20" i="2"/>
  <c r="B20" i="2" s="1"/>
  <c r="A20" i="4" l="1"/>
  <c r="B19" i="4"/>
  <c r="A19" i="3"/>
  <c r="B18" i="3"/>
  <c r="A21" i="2"/>
  <c r="B21" i="2" s="1"/>
  <c r="A21" i="4" l="1"/>
  <c r="B21" i="4" s="1"/>
  <c r="B20" i="4"/>
  <c r="A20" i="3"/>
  <c r="B19" i="3"/>
  <c r="A21" i="3" l="1"/>
  <c r="B21" i="3" s="1"/>
  <c r="B20" i="3"/>
</calcChain>
</file>

<file path=xl/sharedStrings.xml><?xml version="1.0" encoding="utf-8"?>
<sst xmlns="http://schemas.openxmlformats.org/spreadsheetml/2006/main" count="281" uniqueCount="77">
  <si>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</si>
  <si>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</si>
  <si>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</si>
  <si>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</si>
  <si>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</si>
  <si>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</si>
  <si>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</si>
  <si>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</si>
  <si>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</si>
  <si>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</si>
  <si>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</si>
  <si>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</si>
  <si>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</si>
  <si>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</si>
  <si>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</si>
  <si>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</si>
  <si>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</si>
  <si>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</si>
  <si>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</si>
  <si>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</si>
  <si>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</si>
  <si>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</si>
  <si>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</si>
  <si>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</si>
  <si>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</si>
  <si>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</si>
  <si>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</si>
  <si>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</si>
  <si>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</si>
  <si>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</si>
  <si>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</si>
  <si>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</si>
  <si>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</si>
  <si>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</si>
  <si>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</si>
  <si>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</si>
  <si>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</si>
  <si>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</si>
  <si>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</si>
  <si>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</si>
  <si>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</si>
  <si>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</si>
  <si>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</si>
  <si>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</si>
  <si>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</si>
  <si>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</si>
  <si>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</si>
  <si>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</si>
  <si>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</si>
  <si>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</si>
  <si>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</si>
  <si>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</si>
  <si>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</si>
  <si>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</si>
  <si>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</si>
  <si>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</si>
  <si>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</si>
  <si>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</si>
  <si>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</si>
  <si>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</si>
  <si>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</si>
  <si>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</si>
  <si>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</si>
  <si>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</si>
  <si>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</si>
  <si>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</si>
  <si>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</si>
  <si>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</si>
  <si>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</si>
  <si>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</si>
  <si>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</si>
  <si>
    <t>AULA 2.7, 2h (13-15)</t>
  </si>
  <si>
    <t>Introduction, (Towards) Data Platforms (until DWH)</t>
  </si>
  <si>
    <t>Festa</t>
  </si>
  <si>
    <t>Seminar: Technogym?</t>
  </si>
  <si>
    <t>Seminar: Lisa Mazzini?</t>
  </si>
  <si>
    <t>Data Platforms, Data Governance (beginning of exercise on data profiling)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</si>
</sst>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6" borderId="0" xfId="0" applyFill="1" applyAlignment="1">
      <alignment vertical="center"/>
    </xf>
    <xf numFmtId="0" fontId="0" fillId="0" borderId="0" xfId="0" applyFill="1" applyAlignment="1">
      <alignment horizontal="center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CF00-0ED4-4EAC-A0A8-DD346D8625F0}">
  <dimension ref="A1:H23"/>
  <sheetViews>
    <sheetView tabSelected="1" zoomScale="190" zoomScaleNormal="190" workbookViewId="0">
      <selection activeCell="F4" sqref="F4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hidden="1" x14ac:dyDescent="0.3">
      <c r="A2" s="4">
        <v>45942</v>
      </c>
      <c r="B2" s="23">
        <f>WEEKDAY(A2)-1</f>
        <v>0</v>
      </c>
      <c r="C2" s="7" t="s">
        <v>71</v>
      </c>
      <c r="D2" s="4" t="s">
        <v>9</v>
      </c>
      <c r="E2" s="22">
        <v>2</v>
      </c>
      <c r="G2" s="22">
        <f>SUM($E$2:E2)/$E$23</f>
        <v>6.6666666666666666E-2</v>
      </c>
    </row>
    <row r="3" spans="1:8" x14ac:dyDescent="0.3">
      <c r="A3" s="4">
        <v>45943</v>
      </c>
      <c r="B3" s="23">
        <f t="shared" ref="B3:B21" si="0">WEEKDAY(A3)-1</f>
        <v>1</v>
      </c>
      <c r="C3" s="7" t="s">
        <v>11</v>
      </c>
      <c r="D3" s="4" t="s">
        <v>14</v>
      </c>
      <c r="E3" s="28">
        <v>2</v>
      </c>
      <c r="F3" s="29" t="s">
        <v>72</v>
      </c>
      <c r="G3" s="28">
        <f>SUM($E$2:E3)/$E$23</f>
        <v>0.13333333333333333</v>
      </c>
    </row>
    <row r="4" spans="1:8" x14ac:dyDescent="0.3">
      <c r="A4" s="4">
        <f>A2+7</f>
        <v>45949</v>
      </c>
      <c r="B4" s="23">
        <f t="shared" si="0"/>
        <v>0</v>
      </c>
      <c r="C4" s="7" t="s">
        <v>71</v>
      </c>
      <c r="D4" s="3" t="s">
        <v>9</v>
      </c>
      <c r="E4" s="28">
        <v>2</v>
      </c>
      <c r="F4" s="29" t="s">
        <v>76</v>
      </c>
      <c r="G4" s="28">
        <f>SUM($E$2:E4)/$E$23</f>
        <v>0.2</v>
      </c>
      <c r="H4" s="18"/>
    </row>
    <row r="5" spans="1:8" x14ac:dyDescent="0.3">
      <c r="A5" s="4">
        <f>A3+7</f>
        <v>45950</v>
      </c>
      <c r="B5" s="23">
        <f t="shared" si="0"/>
        <v>1</v>
      </c>
      <c r="C5" s="7" t="s">
        <v>11</v>
      </c>
      <c r="D5" s="4" t="s">
        <v>14</v>
      </c>
      <c r="E5" s="28">
        <v>2</v>
      </c>
      <c r="F5" s="25" t="s">
        <v>13</v>
      </c>
      <c r="G5" s="28">
        <f>SUM($E$2:E5)/$E$23</f>
        <v>0.26666666666666666</v>
      </c>
    </row>
    <row r="6" spans="1:8" x14ac:dyDescent="0.3">
      <c r="A6" s="4">
        <f t="shared" ref="A6:A19" si="1">A4+7</f>
        <v>45956</v>
      </c>
      <c r="B6" s="23">
        <f t="shared" si="0"/>
        <v>0</v>
      </c>
      <c r="C6" s="7" t="s">
        <v>71</v>
      </c>
      <c r="D6" s="4" t="s">
        <v>9</v>
      </c>
      <c r="E6" s="28">
        <v>2</v>
      </c>
      <c r="F6" s="25" t="s">
        <v>15</v>
      </c>
      <c r="G6" s="28">
        <f>SUM($E$2:E6)/$E$23</f>
        <v>0.33333333333333331</v>
      </c>
    </row>
    <row r="7" spans="1:8" x14ac:dyDescent="0.3">
      <c r="A7" s="4">
        <f t="shared" si="1"/>
        <v>45957</v>
      </c>
      <c r="B7" s="23">
        <f t="shared" si="0"/>
        <v>1</v>
      </c>
      <c r="C7" s="7" t="s">
        <v>11</v>
      </c>
      <c r="D7" s="3" t="s">
        <v>14</v>
      </c>
      <c r="E7" s="28">
        <v>2</v>
      </c>
      <c r="F7" s="25" t="s">
        <v>16</v>
      </c>
      <c r="G7" s="28">
        <f>SUM($E$2:E7)/$E$23</f>
        <v>0.4</v>
      </c>
    </row>
    <row r="8" spans="1:8" x14ac:dyDescent="0.3">
      <c r="A8" s="4">
        <f t="shared" si="1"/>
        <v>45963</v>
      </c>
      <c r="B8" s="23">
        <f t="shared" si="0"/>
        <v>0</v>
      </c>
      <c r="C8" s="7" t="s">
        <v>71</v>
      </c>
      <c r="D8" s="4" t="s">
        <v>9</v>
      </c>
      <c r="E8" s="28">
        <v>2</v>
      </c>
      <c r="F8" s="25" t="s">
        <v>17</v>
      </c>
      <c r="G8" s="28">
        <f>SUM($E$2:E8)/$E$23</f>
        <v>0.46666666666666667</v>
      </c>
    </row>
    <row r="9" spans="1:8" x14ac:dyDescent="0.3">
      <c r="A9" s="4">
        <f t="shared" si="1"/>
        <v>45964</v>
      </c>
      <c r="B9" s="23">
        <f t="shared" si="0"/>
        <v>1</v>
      </c>
      <c r="C9" s="7" t="s">
        <v>11</v>
      </c>
      <c r="D9" s="3" t="s">
        <v>14</v>
      </c>
      <c r="E9" s="28">
        <v>2</v>
      </c>
      <c r="F9" s="25" t="s">
        <v>18</v>
      </c>
      <c r="G9" s="28">
        <f>SUM($E$2:E9)/$E$23</f>
        <v>0.53333333333333333</v>
      </c>
    </row>
    <row r="10" spans="1:8" x14ac:dyDescent="0.3">
      <c r="A10" s="4">
        <f t="shared" si="1"/>
        <v>45970</v>
      </c>
      <c r="B10" s="23">
        <f t="shared" si="0"/>
        <v>0</v>
      </c>
      <c r="C10" s="7" t="s">
        <v>71</v>
      </c>
      <c r="D10" s="4" t="s">
        <v>9</v>
      </c>
      <c r="E10" s="28">
        <v>2</v>
      </c>
      <c r="F10" s="25" t="s">
        <v>19</v>
      </c>
      <c r="G10" s="28">
        <f>SUM($E$2:E10)/$E$23</f>
        <v>0.6</v>
      </c>
    </row>
    <row r="11" spans="1:8" x14ac:dyDescent="0.3">
      <c r="A11" s="4">
        <f t="shared" si="1"/>
        <v>45971</v>
      </c>
      <c r="B11" s="23">
        <f t="shared" si="0"/>
        <v>1</v>
      </c>
      <c r="C11" s="7" t="s">
        <v>11</v>
      </c>
      <c r="D11" s="3" t="s">
        <v>14</v>
      </c>
      <c r="E11" s="28">
        <v>2</v>
      </c>
      <c r="F11" s="25" t="s">
        <v>20</v>
      </c>
      <c r="G11" s="28">
        <f>SUM($E$2:E11)/$E$23</f>
        <v>0.66666666666666663</v>
      </c>
    </row>
    <row r="12" spans="1:8" x14ac:dyDescent="0.3">
      <c r="A12" s="4">
        <f t="shared" si="1"/>
        <v>45977</v>
      </c>
      <c r="B12" s="23">
        <f t="shared" si="0"/>
        <v>0</v>
      </c>
      <c r="C12" s="7" t="s">
        <v>71</v>
      </c>
      <c r="D12" s="4" t="s">
        <v>9</v>
      </c>
      <c r="E12" s="28">
        <v>2</v>
      </c>
      <c r="F12" s="25" t="s">
        <v>19</v>
      </c>
      <c r="G12" s="28">
        <f>SUM($E$2:E12)/$E$23</f>
        <v>0.73333333333333328</v>
      </c>
    </row>
    <row r="13" spans="1:8" x14ac:dyDescent="0.3">
      <c r="A13" s="4">
        <f t="shared" si="1"/>
        <v>45978</v>
      </c>
      <c r="B13" s="23">
        <f t="shared" si="0"/>
        <v>1</v>
      </c>
      <c r="C13" s="7" t="s">
        <v>11</v>
      </c>
      <c r="D13" s="3" t="s">
        <v>14</v>
      </c>
      <c r="E13" s="28">
        <v>2</v>
      </c>
      <c r="F13" s="25" t="s">
        <v>21</v>
      </c>
      <c r="G13" s="28">
        <f>SUM($E$2:E13)/$E$23</f>
        <v>0.8</v>
      </c>
    </row>
    <row r="14" spans="1:8" x14ac:dyDescent="0.3">
      <c r="A14" s="4">
        <f t="shared" si="1"/>
        <v>45984</v>
      </c>
      <c r="B14" s="23">
        <f t="shared" si="0"/>
        <v>0</v>
      </c>
      <c r="C14" s="7" t="s">
        <v>71</v>
      </c>
      <c r="D14" s="4" t="s">
        <v>9</v>
      </c>
      <c r="E14" s="28">
        <v>0</v>
      </c>
      <c r="F14" s="27"/>
      <c r="G14" s="28">
        <f>SUM($E$2:E14)/$E$23</f>
        <v>0.8</v>
      </c>
    </row>
    <row r="15" spans="1:8" x14ac:dyDescent="0.3">
      <c r="A15" s="4">
        <f t="shared" si="1"/>
        <v>45985</v>
      </c>
      <c r="B15" s="23">
        <f t="shared" si="0"/>
        <v>1</v>
      </c>
      <c r="C15" s="7" t="s">
        <v>11</v>
      </c>
      <c r="D15" s="4" t="s">
        <v>14</v>
      </c>
      <c r="E15" s="28">
        <v>2</v>
      </c>
      <c r="F15" s="27" t="s">
        <v>74</v>
      </c>
      <c r="G15" s="28">
        <f>SUM($E$2:E15)/$E$23</f>
        <v>0.8666666666666667</v>
      </c>
    </row>
    <row r="16" spans="1:8" x14ac:dyDescent="0.3">
      <c r="A16" s="4">
        <f t="shared" si="1"/>
        <v>45991</v>
      </c>
      <c r="B16" s="23">
        <f t="shared" si="0"/>
        <v>0</v>
      </c>
      <c r="C16" s="7" t="s">
        <v>71</v>
      </c>
      <c r="D16" s="4" t="s">
        <v>9</v>
      </c>
      <c r="E16" s="28">
        <v>0</v>
      </c>
      <c r="F16" s="27"/>
      <c r="G16" s="28">
        <f>SUM($E$2:E16)/$E$23</f>
        <v>0.8666666666666667</v>
      </c>
    </row>
    <row r="17" spans="1:7" x14ac:dyDescent="0.3">
      <c r="A17" s="4">
        <f t="shared" si="1"/>
        <v>45992</v>
      </c>
      <c r="B17" s="23">
        <f t="shared" si="0"/>
        <v>1</v>
      </c>
      <c r="C17" s="7" t="s">
        <v>11</v>
      </c>
      <c r="D17" s="4" t="s">
        <v>14</v>
      </c>
      <c r="E17" s="28">
        <v>2</v>
      </c>
      <c r="F17" s="27" t="s">
        <v>75</v>
      </c>
      <c r="G17" s="28">
        <f>SUM($E$2:E17)/$E$23</f>
        <v>0.93333333333333335</v>
      </c>
    </row>
    <row r="18" spans="1:7" x14ac:dyDescent="0.3">
      <c r="A18" s="4">
        <f t="shared" si="1"/>
        <v>45998</v>
      </c>
      <c r="B18" s="23">
        <f t="shared" si="0"/>
        <v>0</v>
      </c>
      <c r="C18" s="7" t="s">
        <v>8</v>
      </c>
      <c r="D18" s="4" t="s">
        <v>9</v>
      </c>
      <c r="E18" s="28"/>
      <c r="G18" s="28">
        <f>SUM($E$2:E18)/$E$23</f>
        <v>0.93333333333333335</v>
      </c>
    </row>
    <row r="19" spans="1:7" x14ac:dyDescent="0.3">
      <c r="A19" s="4">
        <f t="shared" si="1"/>
        <v>45999</v>
      </c>
      <c r="B19" s="23">
        <f t="shared" si="0"/>
        <v>1</v>
      </c>
      <c r="C19" s="7" t="s">
        <v>11</v>
      </c>
      <c r="D19" s="4" t="s">
        <v>14</v>
      </c>
      <c r="E19" s="28"/>
      <c r="F19" s="13" t="s">
        <v>73</v>
      </c>
      <c r="G19" s="28">
        <f>SUM($E$2:E19)/$E$23</f>
        <v>0.93333333333333335</v>
      </c>
    </row>
    <row r="20" spans="1:7" x14ac:dyDescent="0.3">
      <c r="A20" s="4">
        <f>A19+7</f>
        <v>46006</v>
      </c>
      <c r="B20" s="23">
        <f t="shared" si="0"/>
        <v>1</v>
      </c>
      <c r="C20" s="7" t="s">
        <v>8</v>
      </c>
      <c r="D20" s="3" t="s">
        <v>9</v>
      </c>
      <c r="E20" s="28"/>
      <c r="G20" s="28">
        <f>SUM($E$2:E20)/$E$23</f>
        <v>0.93333333333333335</v>
      </c>
    </row>
    <row r="21" spans="1:7" x14ac:dyDescent="0.3">
      <c r="A21" s="4">
        <f>A20</f>
        <v>46006</v>
      </c>
      <c r="B21" s="23">
        <f t="shared" si="0"/>
        <v>1</v>
      </c>
      <c r="C21" s="7" t="s">
        <v>11</v>
      </c>
      <c r="D21" s="4" t="s">
        <v>14</v>
      </c>
      <c r="E21" s="28"/>
      <c r="G21" s="28">
        <f>SUM($E$2:E21)/$E$23</f>
        <v>0.93333333333333335</v>
      </c>
    </row>
    <row r="22" spans="1:7" x14ac:dyDescent="0.3">
      <c r="D22" s="2" t="s">
        <v>26</v>
      </c>
      <c r="E22" s="2">
        <f>SUM(E2:E21)</f>
        <v>28</v>
      </c>
    </row>
    <row r="23" spans="1:7" x14ac:dyDescent="0.3">
      <c r="D23" s="2" t="s">
        <v>27</v>
      </c>
      <c r="E23" s="1">
        <v>30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:D17">
    <cfRule type="cellIs" dxfId="4" priority="3" operator="equal">
      <formula>"Theory"</formula>
    </cfRule>
  </conditionalFormatting>
  <conditionalFormatting sqref="D18:D21">
    <cfRule type="cellIs" dxfId="3" priority="1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zoomScale="190" zoomScaleNormal="190" workbookViewId="0">
      <selection activeCell="A2" sqref="A2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26" t="s">
        <v>19</v>
      </c>
      <c r="G11" s="22">
        <f>SUM($E$2:E11)/$E$23</f>
        <v>0.66666666666666663</v>
      </c>
    </row>
    <row r="12" spans="1:8" x14ac:dyDescent="0.3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30" t="s">
        <v>23</v>
      </c>
      <c r="G14" s="22">
        <f>SUM($E$2:E14)/$E$23</f>
        <v>0.8</v>
      </c>
    </row>
    <row r="15" spans="1:8" x14ac:dyDescent="0.3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30"/>
      <c r="G15" s="22">
        <f>SUM($E$2:E15)/$E$23</f>
        <v>0.8666666666666667</v>
      </c>
    </row>
    <row r="16" spans="1:8" x14ac:dyDescent="0.3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30" t="s">
        <v>25</v>
      </c>
      <c r="G16" s="22">
        <f>SUM($E$2:E16)/$E$23</f>
        <v>0.93333333333333335</v>
      </c>
    </row>
    <row r="17" spans="1:7" x14ac:dyDescent="0.3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30"/>
      <c r="G17" s="22">
        <f>SUM($E$2:E17)/$E$23</f>
        <v>1</v>
      </c>
    </row>
    <row r="18" spans="1:7" hidden="1" x14ac:dyDescent="0.3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">
      <c r="D22" s="1" t="s">
        <v>26</v>
      </c>
      <c r="E22" s="2">
        <f>SUM(E2:E21)</f>
        <v>30</v>
      </c>
    </row>
    <row r="23" spans="1:7" x14ac:dyDescent="0.3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12.77734375" style="1" hidden="1" customWidth="1"/>
    <col min="8" max="8" width="24.44140625" style="9" hidden="1" customWidth="1"/>
    <col min="9" max="9" width="5.21875" hidden="1" customWidth="1"/>
    <col min="10" max="10" width="0" hidden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31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31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31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31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">
      <c r="D22" s="1" t="s">
        <v>26</v>
      </c>
      <c r="E22" s="2">
        <f>SUM(E2:E21)</f>
        <v>31</v>
      </c>
    </row>
    <row r="23" spans="1:9" x14ac:dyDescent="0.3">
      <c r="D23" s="1" t="s">
        <v>27</v>
      </c>
      <c r="E23" s="1">
        <v>30</v>
      </c>
    </row>
    <row r="32" spans="1:9" x14ac:dyDescent="0.3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4" x14ac:dyDescent="0.3"/>
  <cols>
    <col min="1" max="1" width="11" style="1" bestFit="1" customWidth="1"/>
    <col min="2" max="2" width="4.21875" style="1" bestFit="1" customWidth="1"/>
    <col min="3" max="3" width="18" style="1" bestFit="1" customWidth="1"/>
    <col min="4" max="4" width="7.21875" style="1" bestFit="1" customWidth="1"/>
    <col min="5" max="5" width="8.77734375" style="1" bestFit="1" customWidth="1"/>
    <col min="6" max="6" width="52.77734375" style="1" customWidth="1"/>
    <col min="7" max="7" width="9.21875" style="9"/>
    <col min="8" max="8" width="0" hidden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32" t="s">
        <v>30</v>
      </c>
      <c r="G2" s="10">
        <f>SUM($E$2:E2)/$E$18</f>
        <v>6.6666666666666666E-2</v>
      </c>
      <c r="H2" s="33" t="s">
        <v>60</v>
      </c>
    </row>
    <row r="3" spans="1:8" x14ac:dyDescent="0.3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32"/>
      <c r="G3" s="10">
        <f>SUM($E$2:E3)/$E$18</f>
        <v>0.13333333333333333</v>
      </c>
      <c r="H3" s="33"/>
    </row>
    <row r="4" spans="1:8" x14ac:dyDescent="0.3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AA2627</vt:lpstr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2026-10-19T13:24:15Z</dcterms:modified>
  <cp:category/>
  <cp:contentStatus/>
</cp:coreProperties>
</file>